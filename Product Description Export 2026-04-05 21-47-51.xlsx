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thanh\Desktop\Projects\pgrb-data-transpose\"/>
    </mc:Choice>
  </mc:AlternateContent>
  <xr:revisionPtr revIDLastSave="0" documentId="13_ncr:1_{8E9AD0FA-C92C-4FA9-B3CC-9623C5D01581}" xr6:coauthVersionLast="47" xr6:coauthVersionMax="47" xr10:uidLastSave="{00000000-0000-0000-0000-000000000000}"/>
  <bookViews>
    <workbookView xWindow="1395" yWindow="2565" windowWidth="19275" windowHeight="11385" xr2:uid="{00000000-000D-0000-FFFF-FFFF00000000}"/>
  </bookViews>
  <sheets>
    <sheet name="Products" sheetId="1" r:id="rId1"/>
    <sheet name="DropDownOptions" sheetId="2" state="hidden" r:id="rId2"/>
    <sheet name="Additional Feature Bullets" sheetId="3" r:id="rId3"/>
    <sheet name="wf-only-metadata" sheetId="4" state="veryHidden" r:id="rId4"/>
  </sheets>
  <definedNames>
    <definedName name="_xlnm._FilterDatabase" localSheetId="0" hidden="1">Products!$A$6:$S$12</definedName>
    <definedName name="DropDownOptions">DropDownOptions!$P$1:$P$9</definedName>
  </definedNames>
  <calcPr calcId="181029"/>
</workbook>
</file>

<file path=xl/calcChain.xml><?xml version="1.0" encoding="utf-8"?>
<calcChain xmlns="http://schemas.openxmlformats.org/spreadsheetml/2006/main">
  <c r="G8" i="3" l="1"/>
  <c r="G7" i="3"/>
  <c r="Y12" i="1"/>
  <c r="X12" i="1"/>
  <c r="W12" i="1"/>
  <c r="Y11" i="1"/>
  <c r="X11" i="1"/>
  <c r="W11" i="1"/>
  <c r="Y10" i="1"/>
  <c r="X10" i="1"/>
  <c r="W10" i="1"/>
  <c r="Y9" i="1"/>
  <c r="X9" i="1"/>
  <c r="W9" i="1"/>
  <c r="Y8" i="1"/>
  <c r="X8" i="1"/>
  <c r="W8" i="1"/>
  <c r="Y7" i="1"/>
  <c r="X7" i="1"/>
  <c r="W7" i="1"/>
</calcChain>
</file>

<file path=xl/sharedStrings.xml><?xml version="1.0" encoding="utf-8"?>
<sst xmlns="http://schemas.openxmlformats.org/spreadsheetml/2006/main" count="551" uniqueCount="126">
  <si>
    <t>errorCount</t>
  </si>
  <si>
    <t>firstError</t>
  </si>
  <si>
    <t>wayfairProductGroupId</t>
  </si>
  <si>
    <t>manufacturerPartNumber</t>
  </si>
  <si>
    <t>manufacturerPartId</t>
  </si>
  <si>
    <t>supplierPartNumber</t>
  </si>
  <si>
    <t>store</t>
  </si>
  <si>
    <t>nameOnSite</t>
  </si>
  <si>
    <t>productName</t>
  </si>
  <si>
    <t>marketingCopy</t>
  </si>
  <si>
    <t>featureBullet1</t>
  </si>
  <si>
    <t>featureBullet2</t>
  </si>
  <si>
    <t>featureBullet3</t>
  </si>
  <si>
    <t>featureBullet4</t>
  </si>
  <si>
    <t>featureBullet5</t>
  </si>
  <si>
    <t>productNameWhy</t>
  </si>
  <si>
    <t>productNameWhyAdditional</t>
  </si>
  <si>
    <t>descriptionWhy</t>
  </si>
  <si>
    <t>descriptionWhyAdditional</t>
  </si>
  <si>
    <t/>
  </si>
  <si>
    <t>isNamingEdited</t>
  </si>
  <si>
    <t>isMCEdited</t>
  </si>
  <si>
    <t>isFBEdited</t>
  </si>
  <si>
    <t>Exported_wayfairProductGroupId</t>
  </si>
  <si>
    <t>Exported_manufacturerPartNumber</t>
  </si>
  <si>
    <t>Exported_manufacturerPartId</t>
  </si>
  <si>
    <t>Exported_store</t>
  </si>
  <si>
    <t>Exported_productName</t>
  </si>
  <si>
    <t>Exported_marketingCopy</t>
  </si>
  <si>
    <t>Exported_featureBullet1</t>
  </si>
  <si>
    <t>Exported_featureBullet2</t>
  </si>
  <si>
    <t>Exported_featureBullet3</t>
  </si>
  <si>
    <t>Exported_featureBullet4</t>
  </si>
  <si>
    <t>Exported_featureBullet5</t>
  </si>
  <si>
    <t>md5Hash</t>
  </si>
  <si>
    <t>Basic Information</t>
  </si>
  <si>
    <t>Marketing Information</t>
  </si>
  <si>
    <t>Required</t>
  </si>
  <si>
    <t>Conditional</t>
  </si>
  <si>
    <t>Additional</t>
  </si>
  <si>
    <t>Total Errors</t>
  </si>
  <si>
    <t>First Error</t>
  </si>
  <si>
    <t>Wayfair Listing</t>
  </si>
  <si>
    <t>Manufacturer Part Number</t>
  </si>
  <si>
    <t>Manufacturer Part Id</t>
  </si>
  <si>
    <t>Su Part Number</t>
  </si>
  <si>
    <t>Store</t>
  </si>
  <si>
    <t>Name on site</t>
  </si>
  <si>
    <t>Product Name</t>
  </si>
  <si>
    <t>Marketing Copy</t>
  </si>
  <si>
    <t>Feature Bullet 1</t>
  </si>
  <si>
    <t>Feature Bullet 2</t>
  </si>
  <si>
    <t>Feature Bullet 3</t>
  </si>
  <si>
    <t>Feature Bullet 4</t>
  </si>
  <si>
    <t>Feature Bullet 5</t>
  </si>
  <si>
    <t>Naming: WHY</t>
  </si>
  <si>
    <t>Naming Why Additional info</t>
  </si>
  <si>
    <t>MC/FB: WHY</t>
  </si>
  <si>
    <t>MC/FB Additional Info</t>
  </si>
  <si>
    <t>Naming edited</t>
  </si>
  <si>
    <t>MC edited</t>
  </si>
  <si>
    <t>FB edited</t>
  </si>
  <si>
    <t>MD5 Hash</t>
  </si>
  <si>
    <t>Product Names should adhere to guardrails and accurately describe your product in less than 255 characters.</t>
  </si>
  <si>
    <t>Please do not use special symbols (trademark, copyright, etc.) or extra lines/spacing. This should be a short, single paragraph product description in complete sentences highlighting details about key product information.</t>
  </si>
  <si>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</si>
  <si>
    <t>Select why you are making this change to the product name</t>
  </si>
  <si>
    <t>Provide any additional information if needed explaining your change</t>
  </si>
  <si>
    <t>Select why you are making this change to the marketing copy and feature bullets</t>
  </si>
  <si>
    <t>Text</t>
  </si>
  <si>
    <t>Drop down</t>
  </si>
  <si>
    <t>STKL1739</t>
  </si>
  <si>
    <t>Wayfair SKU</t>
  </si>
  <si>
    <t>1 - Wayfair US</t>
  </si>
  <si>
    <t>Walnut Gove 5 - Piece Extendable Dining Set</t>
  </si>
  <si>
    <t>With a light, airy base composed of sculptural ellipses, the Walnut Grove oval dining table offers a flexible and beautiful option for dining. It parts in the middle to accommodate two 18-inch leaves, taking on a new identity as it expands from an intimate 46-inch round top to an 82-inch long table with race track ends. The Walnut Grove side chair is hand-sculpted out of American black walnut and anchored with artfully shaped legs. A contoured wood back offers comfortable support, and an inset upholstered seat beckons you to relax. The Walnut Grove armchair is hand-sculpted out of American black walnut and anchored with artfully shaped legs. The armchair's arms flow from the front leg to create fluid lines that are both functional and beautiful. A contoured wood back offers comfortable support, and an inset upholstered seat beckons you to relax.</t>
  </si>
  <si>
    <t>Solid american black walnut.</t>
  </si>
  <si>
    <t>Radiused and shaped edge.</t>
  </si>
  <si>
    <t>2-18" Leaves extend to 82".</t>
  </si>
  <si>
    <t>Cutout ellipse base with bevel detail.</t>
  </si>
  <si>
    <t>Seat Height: 18.</t>
  </si>
  <si>
    <t>6 - Generated best-in-class standardized name</t>
  </si>
  <si>
    <t>1 - Removed option-specific information</t>
  </si>
  <si>
    <t>8 - New / revised content created for premium brand products</t>
  </si>
  <si>
    <t>5 - Updated collection / branded content</t>
  </si>
  <si>
    <t>2 - Removed superlative content</t>
  </si>
  <si>
    <t>7 - Requested or Confirmed by Supplier</t>
  </si>
  <si>
    <t>9 - Translated / Removed incorrect language</t>
  </si>
  <si>
    <t>3 - Removed / updated potentially inaccurate information</t>
  </si>
  <si>
    <t>4 - Removed banned phrases / trademarks / legal concerns</t>
  </si>
  <si>
    <t>33 - Removed Duplicate Content</t>
  </si>
  <si>
    <t>34 - Updated following a rejected new options consolidation</t>
  </si>
  <si>
    <t>861c716ce33d7b72d7dead9d0c491bb8</t>
  </si>
  <si>
    <t>9931-9933-5pc</t>
  </si>
  <si>
    <t>134692935</t>
  </si>
  <si>
    <t>f39e23bc9311eef33cd7d720d5cc6fa2</t>
  </si>
  <si>
    <t>STKL1737</t>
  </si>
  <si>
    <t>Walnut Grove 7 - Piece Extendable Dining Set</t>
  </si>
  <si>
    <t>The Walnut Grove side chair is hand-sculpted out of American black walnut and anchored with artfully shaped legs. A contoured wood back offers comfortable support, and an inset upholstered seat beckons you to relax. The Walnut Grove armchair is hand-sculpted out of American black walnut and anchored with artfully shaped legs. The armchair's arms flow from the front leg to create fluid lines that are both functional and beautiful. A contoured wood back offers comfortable support, and an inset upholstered seat beckons you to relax. Dynamic instance, this table thoughtfully showcases the natural beauty of the Walnut Grove grain. Its base is anchored by angled round leg posts that create a contoured silhouette and features discreet pull-out extensions to support two 18-inch leaves. The 74-inch table extends to 110 inches for larger gatherings.</t>
  </si>
  <si>
    <t>Contoured wood back.</t>
  </si>
  <si>
    <t>Round stretchers.</t>
  </si>
  <si>
    <t>14b2550375a2a7e766d5870ef9e59802</t>
  </si>
  <si>
    <t>9930-9933-7pc</t>
  </si>
  <si>
    <t>134692938</t>
  </si>
  <si>
    <t>2a6e24461a2ed2f746f6db66c8c87b90</t>
  </si>
  <si>
    <t>STKL1738</t>
  </si>
  <si>
    <t>Walnut Grove 4 - Piece Gathering Set</t>
  </si>
  <si>
    <t>While most furniture takes up space, gathering islands create it. The two-tiered surface of the Walnut Grove gathering island sits upon elegantly tapered a-frame legs. When paired with 25-inch counter stools, it provides a place to work or relax that is beautiful and functional. Crafted from American black walnut. Contoured and sculpted from walnut, the shaped seats and tapered legs of the Walnut Grove counter stool are finished to showcase the unique grain. The stools make a perfect companion for the Walnut Grove gathering island.</t>
  </si>
  <si>
    <t>Solid american black walnut and veneers.</t>
  </si>
  <si>
    <t>Wire management in lower-level surface.</t>
  </si>
  <si>
    <t>Radiused corners on top surfaces.</t>
  </si>
  <si>
    <t>Stretchers between legs.</t>
  </si>
  <si>
    <t>Contoured and sculpted solid wood seat.</t>
  </si>
  <si>
    <t>a6865c95b705b5a24670f8868c13ecbc</t>
  </si>
  <si>
    <t>9955-9953-4pc</t>
  </si>
  <si>
    <t>134692897</t>
  </si>
  <si>
    <t>d7d18bf084da246755e66bda765e7331</t>
  </si>
  <si>
    <t>additionalFeatureBullet</t>
  </si>
  <si>
    <t>Exported_additionalFeatureBullet</t>
  </si>
  <si>
    <t>Additional Feature Bullet</t>
  </si>
  <si>
    <t>FB Edited</t>
  </si>
  <si>
    <t>Angled, round tapered legs with aprons.</t>
  </si>
  <si>
    <t>3f8d296bbf105c0ad8ea87471ae9d670</t>
  </si>
  <si>
    <t>Stretcher footrest.</t>
  </si>
  <si>
    <t>651124f69e2533414d95b19a0d377542</t>
  </si>
  <si>
    <t>{"version":"1.0","wf-locale":"en-US"}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</si>
</sst>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indexed="8"/>
      <name val="Calibri"/>
      <family val="2"/>
      <scheme val="minor"/>
    </font>
    <font>
      <sz val="11"/>
      <color rgb="FF000000"/>
      <name val="Calibri"/>
    </font>
    <font>
      <sz val="11"/>
      <color rgb="FF000000"/>
      <name val="Calibri"/>
    </font>
    <font>
      <b/>
      <sz val="11"/>
      <color rgb="FF000000"/>
      <name val="Helvetica"/>
    </font>
    <font>
      <sz val="11"/>
      <color rgb="FF000000"/>
      <name val="Calibri"/>
    </font>
    <font>
      <b/>
      <sz val="11"/>
      <color rgb="FF000000"/>
      <name val="Helvetica"/>
    </font>
    <font>
      <sz val="11"/>
      <color rgb="FF000000"/>
      <name val="Calibri"/>
    </font>
    <font>
      <b/>
      <sz val="11"/>
      <color rgb="FF000000"/>
      <name val="Helvetica"/>
    </font>
    <font>
      <b/>
      <sz val="11"/>
      <color rgb="FF000000"/>
      <name val="Helvetica"/>
    </font>
    <font>
      <sz val="11"/>
      <color rgb="FF000000"/>
      <name val="Calibri"/>
    </font>
    <font>
      <sz val="11"/>
      <color rgb="FF000000"/>
      <name val="Calibri"/>
    </font>
  </fonts>
  <fills count="5">
    <fill>
      <patternFill patternType="none"/>
    </fill>
    <fill>
      <patternFill patternType="gray125"/>
    </fill>
    <fill>
      <patternFill patternType="solid">
        <fgColor rgb="FFC4BD97"/>
      </patternFill>
    </fill>
    <fill>
      <patternFill patternType="solid">
        <fgColor rgb="FF0EF0AA"/>
      </patternFill>
    </fill>
    <fill>
      <patternFill patternType="solid">
        <fgColor rgb="FFE6E6E6"/>
      </patternFill>
    </fill>
  </fills>
  <borders count="3">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s>
  <cellStyleXfs count="1">
    <xf numFmtId="0" fontId="0" fillId="0" borderId="0"/>
  </cellStyleXfs>
  <cellXfs count="26">
    <xf numFmtId="0" fontId="0" fillId="0" borderId="0" xfId="0"/>
    <xf numFmtId="0" fontId="1" fillId="0" borderId="1" xfId="0" applyFont="1" applyBorder="1" applyAlignment="1">
      <alignment horizontal="center" wrapText="1"/>
    </xf>
    <xf numFmtId="0" fontId="2" fillId="0" borderId="0" xfId="0" applyFont="1" applyBorder="1" applyAlignment="1">
      <alignment horizontal="center" wrapText="1"/>
    </xf>
    <xf numFmtId="0" fontId="0" fillId="0" borderId="0" xfId="0"/>
    <xf numFmtId="0" fontId="4" fillId="0" borderId="0" xfId="0" applyFont="1" applyBorder="1" applyAlignment="1">
      <alignment wrapText="1"/>
    </xf>
    <xf numFmtId="0" fontId="5" fillId="3" borderId="0" xfId="0" applyFont="1" applyFill="1" applyBorder="1" applyAlignment="1">
      <alignment horizontal="left" wrapText="1"/>
    </xf>
    <xf numFmtId="0" fontId="0" fillId="0" borderId="0" xfId="0"/>
    <xf numFmtId="0" fontId="6" fillId="4" borderId="2" xfId="0" applyFont="1" applyFill="1" applyBorder="1" applyAlignment="1">
      <alignment horizontal="center" vertical="top" wrapText="1"/>
    </xf>
    <xf numFmtId="0" fontId="0" fillId="0" borderId="0" xfId="0"/>
    <xf numFmtId="0" fontId="7" fillId="0" borderId="2" xfId="0" applyFont="1" applyBorder="1" applyAlignment="1">
      <alignment horizontal="center" vertical="center" wrapText="1"/>
    </xf>
    <xf numFmtId="0" fontId="0" fillId="0" borderId="0" xfId="0"/>
    <xf numFmtId="0" fontId="8" fillId="0" borderId="2" xfId="0" applyFont="1" applyBorder="1" applyAlignment="1">
      <alignment horizontal="center" vertical="top" wrapText="1"/>
    </xf>
    <xf numFmtId="0" fontId="0" fillId="0" borderId="0" xfId="0"/>
    <xf numFmtId="0" fontId="0" fillId="0" borderId="0" xfId="0"/>
    <xf numFmtId="0" fontId="9" fillId="0" borderId="1" xfId="0" applyFont="1" applyBorder="1" applyAlignment="1">
      <alignment horizontal="left"/>
    </xf>
    <xf numFmtId="0" fontId="10" fillId="0" borderId="0" xfId="0" applyFont="1" applyBorder="1" applyAlignment="1">
      <alignment horizontal="left"/>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1" fillId="0" borderId="1" xfId="0" applyFont="1" applyBorder="1" applyAlignment="1">
      <alignment horizontal="left"/>
    </xf>
    <xf numFmtId="0" fontId="3" fillId="2" borderId="0" xfId="0" applyFont="1" applyFill="1" applyBorder="1" applyAlignment="1">
      <alignment horizontal="left" wrapText="1"/>
    </xf>
    <xf numFmtId="0" fontId="4" fillId="0" borderId="0" xfId="0" applyFont="1" applyBorder="1" applyAlignment="1">
      <alignment wrapText="1"/>
    </xf>
    <xf numFmtId="0" fontId="5" fillId="3" borderId="0" xfId="0" applyFont="1"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2"/>
  <sheetViews>
    <sheetView tabSelected="1" workbookViewId="0">
      <pane xSplit="8" ySplit="6" topLeftCell="J7" activePane="bottomRight" state="frozen"/>
      <selection pane="topRight"/>
      <selection pane="bottomLeft"/>
      <selection pane="bottomRight" activeCell="J7" sqref="J7"/>
    </sheetView>
  </sheetViews>
  <sheetFormatPr defaultColWidth="16" defaultRowHeight="15" x14ac:dyDescent="0.25"/>
  <cols>
    <col min="5" max="6" width="15" hidden="1"/>
    <col min="9" max="19" width="50" bestFit="1" customWidth="1"/>
    <col min="20" max="38" width="15" hidden="1"/>
  </cols>
  <sheetData>
    <row r="1" spans="1:38" s="3" customFormat="1" ht="15" hidden="1"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 t="s">
        <v>19</v>
      </c>
      <c r="U1" s="2" t="s">
        <v>19</v>
      </c>
      <c r="V1" s="2"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2" t="s">
        <v>19</v>
      </c>
      <c r="AL1" s="1" t="s">
        <v>34</v>
      </c>
    </row>
    <row r="2" spans="1:38" s="6" customFormat="1" ht="15.95" customHeight="1" x14ac:dyDescent="0.25">
      <c r="A2" s="23" t="s">
        <v>35</v>
      </c>
      <c r="B2" s="24" t="s">
        <v>19</v>
      </c>
      <c r="C2" s="24" t="s">
        <v>19</v>
      </c>
      <c r="D2" s="24" t="s">
        <v>19</v>
      </c>
      <c r="E2" s="24" t="s">
        <v>19</v>
      </c>
      <c r="F2" s="24" t="s">
        <v>19</v>
      </c>
      <c r="G2" s="24" t="s">
        <v>19</v>
      </c>
      <c r="H2" s="24" t="s">
        <v>19</v>
      </c>
      <c r="I2" s="25" t="s">
        <v>36</v>
      </c>
      <c r="J2" s="24" t="s">
        <v>19</v>
      </c>
      <c r="K2" s="24" t="s">
        <v>19</v>
      </c>
      <c r="L2" s="24" t="s">
        <v>19</v>
      </c>
      <c r="M2" s="24" t="s">
        <v>19</v>
      </c>
      <c r="N2" s="24" t="s">
        <v>19</v>
      </c>
      <c r="O2" s="24" t="s">
        <v>19</v>
      </c>
      <c r="P2" s="24" t="s">
        <v>19</v>
      </c>
      <c r="Q2" s="24" t="s">
        <v>19</v>
      </c>
      <c r="R2" s="24" t="s">
        <v>19</v>
      </c>
      <c r="S2" s="24" t="s">
        <v>19</v>
      </c>
      <c r="T2" s="4" t="s">
        <v>19</v>
      </c>
      <c r="U2" s="4" t="s">
        <v>19</v>
      </c>
      <c r="V2" s="4" t="s">
        <v>19</v>
      </c>
      <c r="W2" s="4" t="s">
        <v>19</v>
      </c>
      <c r="X2" s="4" t="s">
        <v>19</v>
      </c>
      <c r="Y2" s="4" t="s">
        <v>19</v>
      </c>
      <c r="Z2" s="4" t="s">
        <v>19</v>
      </c>
      <c r="AA2" s="4" t="s">
        <v>19</v>
      </c>
      <c r="AB2" s="4" t="s">
        <v>19</v>
      </c>
      <c r="AC2" s="4" t="s">
        <v>19</v>
      </c>
      <c r="AD2" s="4" t="s">
        <v>19</v>
      </c>
      <c r="AE2" s="4" t="s">
        <v>19</v>
      </c>
      <c r="AF2" s="4" t="s">
        <v>19</v>
      </c>
      <c r="AG2" s="4" t="s">
        <v>19</v>
      </c>
      <c r="AH2" s="4" t="s">
        <v>19</v>
      </c>
      <c r="AI2" s="4" t="s">
        <v>19</v>
      </c>
      <c r="AJ2" s="4" t="s">
        <v>19</v>
      </c>
      <c r="AK2" s="4" t="s">
        <v>19</v>
      </c>
      <c r="AL2" s="4" t="s">
        <v>19</v>
      </c>
    </row>
    <row r="3" spans="1:38" s="8" customFormat="1" ht="33" customHeight="1" x14ac:dyDescent="0.25">
      <c r="A3" s="7" t="s">
        <v>19</v>
      </c>
      <c r="B3" s="7" t="s">
        <v>19</v>
      </c>
      <c r="C3" s="7" t="s">
        <v>19</v>
      </c>
      <c r="D3" s="7" t="s">
        <v>19</v>
      </c>
      <c r="E3" s="7" t="s">
        <v>19</v>
      </c>
      <c r="F3" s="7" t="s">
        <v>19</v>
      </c>
      <c r="G3" s="7" t="s">
        <v>19</v>
      </c>
      <c r="H3" s="7" t="s">
        <v>19</v>
      </c>
      <c r="I3" s="7" t="s">
        <v>37</v>
      </c>
      <c r="J3" s="7" t="s">
        <v>38</v>
      </c>
      <c r="K3" s="7" t="s">
        <v>38</v>
      </c>
      <c r="L3" s="7" t="s">
        <v>38</v>
      </c>
      <c r="M3" s="7" t="s">
        <v>38</v>
      </c>
      <c r="N3" s="7" t="s">
        <v>38</v>
      </c>
      <c r="O3" s="7" t="s">
        <v>38</v>
      </c>
      <c r="P3" s="7" t="s">
        <v>37</v>
      </c>
      <c r="Q3" s="7" t="s">
        <v>39</v>
      </c>
      <c r="R3" s="7" t="s">
        <v>37</v>
      </c>
      <c r="S3" s="7" t="s">
        <v>39</v>
      </c>
      <c r="T3" s="4" t="s">
        <v>19</v>
      </c>
      <c r="U3" s="4" t="s">
        <v>19</v>
      </c>
      <c r="V3" s="4" t="s">
        <v>19</v>
      </c>
      <c r="W3" s="7" t="s">
        <v>19</v>
      </c>
      <c r="X3" s="7" t="s">
        <v>19</v>
      </c>
      <c r="Y3" s="7" t="s">
        <v>19</v>
      </c>
      <c r="Z3" s="7" t="s">
        <v>19</v>
      </c>
      <c r="AA3" s="7" t="s">
        <v>19</v>
      </c>
      <c r="AB3" s="7" t="s">
        <v>19</v>
      </c>
      <c r="AC3" s="7" t="s">
        <v>37</v>
      </c>
      <c r="AD3" s="7" t="s">
        <v>38</v>
      </c>
      <c r="AE3" s="7" t="s">
        <v>38</v>
      </c>
      <c r="AF3" s="7" t="s">
        <v>38</v>
      </c>
      <c r="AG3" s="7" t="s">
        <v>38</v>
      </c>
      <c r="AH3" s="7" t="s">
        <v>38</v>
      </c>
      <c r="AI3" s="7" t="s">
        <v>38</v>
      </c>
      <c r="AJ3" s="4" t="s">
        <v>19</v>
      </c>
      <c r="AK3" s="7" t="s">
        <v>19</v>
      </c>
      <c r="AL3" s="7" t="s">
        <v>19</v>
      </c>
    </row>
    <row r="4" spans="1:38" s="10" customFormat="1" ht="50.1" customHeight="1" x14ac:dyDescent="0.25">
      <c r="A4" s="9" t="s">
        <v>40</v>
      </c>
      <c r="B4" s="9" t="s">
        <v>41</v>
      </c>
      <c r="C4" s="9" t="s">
        <v>42</v>
      </c>
      <c r="D4" s="9" t="s">
        <v>43</v>
      </c>
      <c r="E4" s="9" t="s">
        <v>44</v>
      </c>
      <c r="F4" s="9" t="s">
        <v>45</v>
      </c>
      <c r="G4" s="9" t="s">
        <v>46</v>
      </c>
      <c r="H4" s="9" t="s">
        <v>47</v>
      </c>
      <c r="I4" s="9" t="s">
        <v>48</v>
      </c>
      <c r="J4" s="9" t="s">
        <v>49</v>
      </c>
      <c r="K4" s="9" t="s">
        <v>50</v>
      </c>
      <c r="L4" s="9" t="s">
        <v>51</v>
      </c>
      <c r="M4" s="9" t="s">
        <v>52</v>
      </c>
      <c r="N4" s="9" t="s">
        <v>53</v>
      </c>
      <c r="O4" s="9" t="s">
        <v>54</v>
      </c>
      <c r="P4" s="9" t="s">
        <v>55</v>
      </c>
      <c r="Q4" s="9" t="s">
        <v>56</v>
      </c>
      <c r="R4" s="9" t="s">
        <v>57</v>
      </c>
      <c r="S4" s="9" t="s">
        <v>58</v>
      </c>
      <c r="T4" s="4" t="s">
        <v>19</v>
      </c>
      <c r="U4" s="4" t="s">
        <v>19</v>
      </c>
      <c r="V4" s="4" t="s">
        <v>19</v>
      </c>
      <c r="W4" s="9" t="s">
        <v>59</v>
      </c>
      <c r="X4" s="9" t="s">
        <v>60</v>
      </c>
      <c r="Y4" s="9" t="s">
        <v>61</v>
      </c>
      <c r="Z4" s="9" t="s">
        <v>42</v>
      </c>
      <c r="AA4" s="9" t="s">
        <v>43</v>
      </c>
      <c r="AB4" s="9" t="s">
        <v>44</v>
      </c>
      <c r="AC4" s="9" t="s">
        <v>46</v>
      </c>
      <c r="AD4" s="9" t="s">
        <v>48</v>
      </c>
      <c r="AE4" s="9" t="s">
        <v>49</v>
      </c>
      <c r="AF4" s="9" t="s">
        <v>50</v>
      </c>
      <c r="AG4" s="9" t="s">
        <v>51</v>
      </c>
      <c r="AH4" s="9" t="s">
        <v>52</v>
      </c>
      <c r="AI4" s="9" t="s">
        <v>53</v>
      </c>
      <c r="AJ4" s="9" t="s">
        <v>54</v>
      </c>
      <c r="AK4" s="4" t="s">
        <v>19</v>
      </c>
      <c r="AL4" s="9" t="s">
        <v>62</v>
      </c>
    </row>
    <row r="5" spans="1:38" s="12" customFormat="1" ht="50.1" customHeight="1" x14ac:dyDescent="0.25">
      <c r="A5" s="11" t="s">
        <v>19</v>
      </c>
      <c r="B5" s="11" t="s">
        <v>19</v>
      </c>
      <c r="C5" s="11" t="s">
        <v>19</v>
      </c>
      <c r="D5" s="11" t="s">
        <v>19</v>
      </c>
      <c r="E5" s="11" t="s">
        <v>19</v>
      </c>
      <c r="F5" s="11" t="s">
        <v>19</v>
      </c>
      <c r="G5" s="11" t="s">
        <v>19</v>
      </c>
      <c r="H5" s="11" t="s">
        <v>19</v>
      </c>
      <c r="I5" s="11" t="s">
        <v>63</v>
      </c>
      <c r="J5" s="11" t="s">
        <v>64</v>
      </c>
      <c r="K5" s="11" t="s">
        <v>65</v>
      </c>
      <c r="L5" s="11" t="s">
        <v>65</v>
      </c>
      <c r="M5" s="11" t="s">
        <v>65</v>
      </c>
      <c r="N5" s="11" t="s">
        <v>65</v>
      </c>
      <c r="O5" s="11" t="s">
        <v>65</v>
      </c>
      <c r="P5" s="11" t="s">
        <v>66</v>
      </c>
      <c r="Q5" s="11" t="s">
        <v>67</v>
      </c>
      <c r="R5" s="11" t="s">
        <v>68</v>
      </c>
      <c r="S5" s="11" t="s">
        <v>67</v>
      </c>
      <c r="T5" s="4" t="s">
        <v>19</v>
      </c>
      <c r="U5" s="4" t="s">
        <v>19</v>
      </c>
      <c r="V5" s="4" t="s">
        <v>19</v>
      </c>
      <c r="W5" s="11" t="s">
        <v>19</v>
      </c>
      <c r="X5" s="11" t="s">
        <v>19</v>
      </c>
      <c r="Y5" s="11" t="s">
        <v>19</v>
      </c>
      <c r="Z5" s="11" t="s">
        <v>19</v>
      </c>
      <c r="AA5" s="11" t="s">
        <v>19</v>
      </c>
      <c r="AB5" s="11" t="s">
        <v>19</v>
      </c>
      <c r="AC5" s="11" t="s">
        <v>19</v>
      </c>
      <c r="AD5" s="11" t="s">
        <v>63</v>
      </c>
      <c r="AE5" s="11" t="s">
        <v>64</v>
      </c>
      <c r="AF5" s="11" t="s">
        <v>65</v>
      </c>
      <c r="AG5" s="11" t="s">
        <v>65</v>
      </c>
      <c r="AH5" s="11" t="s">
        <v>65</v>
      </c>
      <c r="AI5" s="11" t="s">
        <v>65</v>
      </c>
      <c r="AJ5" s="11" t="s">
        <v>65</v>
      </c>
      <c r="AK5" s="4" t="s">
        <v>19</v>
      </c>
      <c r="AL5" s="11" t="s">
        <v>19</v>
      </c>
    </row>
    <row r="6" spans="1:38" s="13" customFormat="1" ht="50.1" customHeight="1" x14ac:dyDescent="0.25">
      <c r="A6" s="11" t="s">
        <v>19</v>
      </c>
      <c r="B6" s="11" t="s">
        <v>19</v>
      </c>
      <c r="C6" s="11" t="s">
        <v>19</v>
      </c>
      <c r="D6" s="11" t="s">
        <v>69</v>
      </c>
      <c r="E6" s="11" t="s">
        <v>69</v>
      </c>
      <c r="F6" s="11" t="s">
        <v>69</v>
      </c>
      <c r="G6" s="11" t="s">
        <v>19</v>
      </c>
      <c r="H6" s="11" t="s">
        <v>69</v>
      </c>
      <c r="I6" s="11" t="s">
        <v>69</v>
      </c>
      <c r="J6" s="11" t="s">
        <v>69</v>
      </c>
      <c r="K6" s="11" t="s">
        <v>69</v>
      </c>
      <c r="L6" s="11" t="s">
        <v>69</v>
      </c>
      <c r="M6" s="11" t="s">
        <v>69</v>
      </c>
      <c r="N6" s="11" t="s">
        <v>69</v>
      </c>
      <c r="O6" s="11" t="s">
        <v>69</v>
      </c>
      <c r="P6" s="11" t="s">
        <v>70</v>
      </c>
      <c r="Q6" s="11" t="s">
        <v>69</v>
      </c>
      <c r="R6" s="11" t="s">
        <v>70</v>
      </c>
      <c r="S6" s="11" t="s">
        <v>69</v>
      </c>
      <c r="T6" s="4" t="s">
        <v>19</v>
      </c>
      <c r="U6" s="4" t="s">
        <v>19</v>
      </c>
      <c r="V6" s="4" t="s">
        <v>19</v>
      </c>
      <c r="W6" s="11" t="s">
        <v>19</v>
      </c>
      <c r="X6" s="11" t="s">
        <v>19</v>
      </c>
      <c r="Y6" s="11" t="s">
        <v>19</v>
      </c>
      <c r="Z6" s="11" t="s">
        <v>19</v>
      </c>
      <c r="AA6" s="11" t="s">
        <v>69</v>
      </c>
      <c r="AB6" s="11" t="s">
        <v>69</v>
      </c>
      <c r="AC6" s="11" t="s">
        <v>19</v>
      </c>
      <c r="AD6" s="11" t="s">
        <v>69</v>
      </c>
      <c r="AE6" s="11" t="s">
        <v>69</v>
      </c>
      <c r="AF6" s="11" t="s">
        <v>69</v>
      </c>
      <c r="AG6" s="11" t="s">
        <v>69</v>
      </c>
      <c r="AH6" s="11" t="s">
        <v>69</v>
      </c>
      <c r="AI6" s="11" t="s">
        <v>69</v>
      </c>
      <c r="AJ6" s="11" t="s">
        <v>69</v>
      </c>
      <c r="AK6" s="4" t="s">
        <v>19</v>
      </c>
      <c r="AL6" s="11" t="s">
        <v>19</v>
      </c>
    </row>
    <row r="7" spans="1:38" x14ac:dyDescent="0.25">
      <c r="A7" s="14" t="s">
        <v>19</v>
      </c>
      <c r="B7" s="14" t="s">
        <v>19</v>
      </c>
      <c r="C7" s="22" t="s">
        <v>71</v>
      </c>
      <c r="D7" s="14" t="s">
        <v>72</v>
      </c>
      <c r="E7" s="14" t="s">
        <v>72</v>
      </c>
      <c r="F7" s="14" t="s">
        <v>72</v>
      </c>
      <c r="G7" s="14" t="s">
        <v>73</v>
      </c>
      <c r="H7" s="14" t="s">
        <v>74</v>
      </c>
      <c r="I7" s="14" t="s">
        <v>74</v>
      </c>
      <c r="J7" s="14"/>
      <c r="K7" s="14" t="s">
        <v>76</v>
      </c>
      <c r="L7" s="14" t="s">
        <v>77</v>
      </c>
      <c r="M7" s="14" t="s">
        <v>78</v>
      </c>
      <c r="N7" s="14" t="s">
        <v>79</v>
      </c>
      <c r="O7" s="14" t="s">
        <v>80</v>
      </c>
      <c r="P7" s="14" t="s">
        <v>19</v>
      </c>
      <c r="Q7" s="14" t="s">
        <v>19</v>
      </c>
      <c r="R7" s="14" t="s">
        <v>19</v>
      </c>
      <c r="S7" s="14" t="s">
        <v>19</v>
      </c>
      <c r="T7" s="15" t="s">
        <v>19</v>
      </c>
      <c r="U7" s="15" t="s">
        <v>19</v>
      </c>
      <c r="V7" s="15" t="s">
        <v>19</v>
      </c>
      <c r="W7" s="14" t="b">
        <f t="shared" ref="W7:X12" si="0">NOT(EXACT(IF(NOT(ISBLANK(I7)),I7,""),IF(NOT(ISBLANK(AD7)),AD7,"")))</f>
        <v>0</v>
      </c>
      <c r="X7" s="14" t="b">
        <f t="shared" si="0"/>
        <v>1</v>
      </c>
      <c r="Y7" s="14" t="b">
        <f t="shared" ref="Y7:Y12" si="1">OR(NOT(EXACT(IF(NOT(ISBLANK(K7)),K7,""),IF(NOT(ISBLANK(AF7)),AF7,""))),NOT(EXACT(IF(NOT(ISBLANK(L7)),L7,""),IF(NOT(ISBLANK(AG7)),AG7,""))),NOT(EXACT(IF(NOT(ISBLANK(M7)),M7,""),IF(NOT(ISBLANK(AH7)),AH7,""))),NOT(EXACT(IF(NOT(ISBLANK(N7)),N7,""),IF(NOT(ISBLANK(AI7)),AI7,""))),NOT(EXACT(IF(NOT(ISBLANK(O7)),O7,""),IF(NOT(ISBLANK(AJ7)),AJ7,""))))</f>
        <v>0</v>
      </c>
      <c r="Z7" s="14" t="s">
        <v>71</v>
      </c>
      <c r="AA7" s="14" t="s">
        <v>72</v>
      </c>
      <c r="AB7" s="14" t="s">
        <v>72</v>
      </c>
      <c r="AC7" s="14" t="s">
        <v>73</v>
      </c>
      <c r="AD7" s="14" t="s">
        <v>74</v>
      </c>
      <c r="AE7" s="14" t="s">
        <v>75</v>
      </c>
      <c r="AF7" s="14" t="s">
        <v>76</v>
      </c>
      <c r="AG7" s="14" t="s">
        <v>77</v>
      </c>
      <c r="AH7" s="14" t="s">
        <v>78</v>
      </c>
      <c r="AI7" s="14" t="s">
        <v>79</v>
      </c>
      <c r="AJ7" s="14" t="s">
        <v>80</v>
      </c>
      <c r="AK7" s="15" t="s">
        <v>19</v>
      </c>
      <c r="AL7" s="14" t="s">
        <v>92</v>
      </c>
    </row>
    <row r="8" spans="1:38" x14ac:dyDescent="0.25">
      <c r="A8" s="14" t="s">
        <v>19</v>
      </c>
      <c r="B8" s="14" t="s">
        <v>19</v>
      </c>
      <c r="C8" s="14" t="s">
        <v>71</v>
      </c>
      <c r="D8" s="14" t="s">
        <v>93</v>
      </c>
      <c r="E8" s="14" t="s">
        <v>94</v>
      </c>
      <c r="F8" s="14" t="s">
        <v>93</v>
      </c>
      <c r="G8" s="14" t="s">
        <v>73</v>
      </c>
      <c r="H8" s="14" t="s">
        <v>74</v>
      </c>
      <c r="I8" s="14" t="s">
        <v>74</v>
      </c>
      <c r="J8" s="14" t="s">
        <v>19</v>
      </c>
      <c r="K8" s="14" t="s">
        <v>19</v>
      </c>
      <c r="L8" s="14" t="s">
        <v>19</v>
      </c>
      <c r="M8" s="14" t="s">
        <v>19</v>
      </c>
      <c r="N8" s="14" t="s">
        <v>19</v>
      </c>
      <c r="O8" s="14" t="s">
        <v>19</v>
      </c>
      <c r="P8" s="14" t="s">
        <v>19</v>
      </c>
      <c r="Q8" s="14" t="s">
        <v>19</v>
      </c>
      <c r="R8" s="14" t="s">
        <v>19</v>
      </c>
      <c r="S8" s="14" t="s">
        <v>19</v>
      </c>
      <c r="T8" s="15" t="s">
        <v>19</v>
      </c>
      <c r="U8" s="15" t="s">
        <v>19</v>
      </c>
      <c r="V8" s="15" t="s">
        <v>19</v>
      </c>
      <c r="W8" s="14" t="b">
        <f t="shared" si="0"/>
        <v>0</v>
      </c>
      <c r="X8" s="14" t="b">
        <f t="shared" si="0"/>
        <v>0</v>
      </c>
      <c r="Y8" s="14" t="b">
        <f t="shared" si="1"/>
        <v>0</v>
      </c>
      <c r="Z8" s="14" t="s">
        <v>71</v>
      </c>
      <c r="AA8" s="14" t="s">
        <v>93</v>
      </c>
      <c r="AB8" s="14" t="s">
        <v>94</v>
      </c>
      <c r="AC8" s="14" t="s">
        <v>73</v>
      </c>
      <c r="AD8" s="14" t="s">
        <v>74</v>
      </c>
      <c r="AE8" s="14" t="s">
        <v>19</v>
      </c>
      <c r="AF8" s="14" t="s">
        <v>19</v>
      </c>
      <c r="AG8" s="14" t="s">
        <v>19</v>
      </c>
      <c r="AH8" s="14" t="s">
        <v>19</v>
      </c>
      <c r="AI8" s="14" t="s">
        <v>19</v>
      </c>
      <c r="AJ8" s="14" t="s">
        <v>19</v>
      </c>
      <c r="AK8" s="15" t="s">
        <v>19</v>
      </c>
      <c r="AL8" s="14" t="s">
        <v>95</v>
      </c>
    </row>
    <row r="9" spans="1:38" x14ac:dyDescent="0.25">
      <c r="A9" s="14" t="s">
        <v>19</v>
      </c>
      <c r="B9" s="14" t="s">
        <v>19</v>
      </c>
      <c r="C9" s="14" t="s">
        <v>96</v>
      </c>
      <c r="D9" s="14" t="s">
        <v>72</v>
      </c>
      <c r="E9" s="14" t="s">
        <v>72</v>
      </c>
      <c r="F9" s="14" t="s">
        <v>72</v>
      </c>
      <c r="G9" s="14" t="s">
        <v>73</v>
      </c>
      <c r="H9" s="14" t="s">
        <v>97</v>
      </c>
      <c r="I9" s="14" t="s">
        <v>97</v>
      </c>
      <c r="J9" s="14" t="s">
        <v>98</v>
      </c>
      <c r="K9" s="14" t="s">
        <v>76</v>
      </c>
      <c r="L9" s="14" t="s">
        <v>77</v>
      </c>
      <c r="M9" s="14" t="s">
        <v>99</v>
      </c>
      <c r="N9" s="14" t="s">
        <v>80</v>
      </c>
      <c r="O9" s="14" t="s">
        <v>100</v>
      </c>
      <c r="P9" s="14" t="s">
        <v>19</v>
      </c>
      <c r="Q9" s="14" t="s">
        <v>19</v>
      </c>
      <c r="R9" s="14" t="s">
        <v>19</v>
      </c>
      <c r="S9" s="14" t="s">
        <v>19</v>
      </c>
      <c r="T9" s="15" t="s">
        <v>19</v>
      </c>
      <c r="U9" s="15" t="s">
        <v>19</v>
      </c>
      <c r="V9" s="15" t="s">
        <v>19</v>
      </c>
      <c r="W9" s="14" t="b">
        <f t="shared" si="0"/>
        <v>0</v>
      </c>
      <c r="X9" s="14" t="b">
        <f t="shared" si="0"/>
        <v>0</v>
      </c>
      <c r="Y9" s="14" t="b">
        <f t="shared" si="1"/>
        <v>0</v>
      </c>
      <c r="Z9" s="14" t="s">
        <v>96</v>
      </c>
      <c r="AA9" s="14" t="s">
        <v>72</v>
      </c>
      <c r="AB9" s="14" t="s">
        <v>72</v>
      </c>
      <c r="AC9" s="14" t="s">
        <v>73</v>
      </c>
      <c r="AD9" s="14" t="s">
        <v>97</v>
      </c>
      <c r="AE9" s="14" t="s">
        <v>98</v>
      </c>
      <c r="AF9" s="14" t="s">
        <v>76</v>
      </c>
      <c r="AG9" s="14" t="s">
        <v>77</v>
      </c>
      <c r="AH9" s="14" t="s">
        <v>99</v>
      </c>
      <c r="AI9" s="14" t="s">
        <v>80</v>
      </c>
      <c r="AJ9" s="14" t="s">
        <v>100</v>
      </c>
      <c r="AK9" s="15" t="s">
        <v>19</v>
      </c>
      <c r="AL9" s="14" t="s">
        <v>101</v>
      </c>
    </row>
    <row r="10" spans="1:38" x14ac:dyDescent="0.25">
      <c r="A10" s="14" t="s">
        <v>19</v>
      </c>
      <c r="B10" s="14" t="s">
        <v>19</v>
      </c>
      <c r="C10" s="14" t="s">
        <v>96</v>
      </c>
      <c r="D10" s="14" t="s">
        <v>102</v>
      </c>
      <c r="E10" s="14" t="s">
        <v>103</v>
      </c>
      <c r="F10" s="14" t="s">
        <v>102</v>
      </c>
      <c r="G10" s="14" t="s">
        <v>73</v>
      </c>
      <c r="H10" s="14" t="s">
        <v>97</v>
      </c>
      <c r="I10" s="14" t="s">
        <v>97</v>
      </c>
      <c r="J10" s="14" t="s">
        <v>19</v>
      </c>
      <c r="K10" s="14" t="s">
        <v>19</v>
      </c>
      <c r="L10" s="14" t="s">
        <v>19</v>
      </c>
      <c r="M10" s="14" t="s">
        <v>19</v>
      </c>
      <c r="N10" s="14" t="s">
        <v>19</v>
      </c>
      <c r="O10" s="14" t="s">
        <v>19</v>
      </c>
      <c r="P10" s="14" t="s">
        <v>19</v>
      </c>
      <c r="Q10" s="14" t="s">
        <v>19</v>
      </c>
      <c r="R10" s="14" t="s">
        <v>19</v>
      </c>
      <c r="S10" s="14" t="s">
        <v>19</v>
      </c>
      <c r="T10" s="15" t="s">
        <v>19</v>
      </c>
      <c r="U10" s="15" t="s">
        <v>19</v>
      </c>
      <c r="V10" s="15" t="s">
        <v>19</v>
      </c>
      <c r="W10" s="14" t="b">
        <f t="shared" si="0"/>
        <v>0</v>
      </c>
      <c r="X10" s="14" t="b">
        <f t="shared" si="0"/>
        <v>0</v>
      </c>
      <c r="Y10" s="14" t="b">
        <f t="shared" si="1"/>
        <v>0</v>
      </c>
      <c r="Z10" s="14" t="s">
        <v>96</v>
      </c>
      <c r="AA10" s="14" t="s">
        <v>102</v>
      </c>
      <c r="AB10" s="14" t="s">
        <v>103</v>
      </c>
      <c r="AC10" s="14" t="s">
        <v>73</v>
      </c>
      <c r="AD10" s="14" t="s">
        <v>97</v>
      </c>
      <c r="AE10" s="14" t="s">
        <v>19</v>
      </c>
      <c r="AF10" s="14" t="s">
        <v>19</v>
      </c>
      <c r="AG10" s="14" t="s">
        <v>19</v>
      </c>
      <c r="AH10" s="14" t="s">
        <v>19</v>
      </c>
      <c r="AI10" s="14" t="s">
        <v>19</v>
      </c>
      <c r="AJ10" s="14" t="s">
        <v>19</v>
      </c>
      <c r="AK10" s="15" t="s">
        <v>19</v>
      </c>
      <c r="AL10" s="14" t="s">
        <v>104</v>
      </c>
    </row>
    <row r="11" spans="1:38" x14ac:dyDescent="0.25">
      <c r="A11" s="14" t="s">
        <v>19</v>
      </c>
      <c r="B11" s="14" t="s">
        <v>19</v>
      </c>
      <c r="C11" s="14" t="s">
        <v>105</v>
      </c>
      <c r="D11" s="14" t="s">
        <v>72</v>
      </c>
      <c r="E11" s="14" t="s">
        <v>72</v>
      </c>
      <c r="F11" s="14" t="s">
        <v>72</v>
      </c>
      <c r="G11" s="14" t="s">
        <v>73</v>
      </c>
      <c r="H11" s="14" t="s">
        <v>106</v>
      </c>
      <c r="I11" s="14" t="s">
        <v>106</v>
      </c>
      <c r="J11" s="14" t="s">
        <v>107</v>
      </c>
      <c r="K11" s="14" t="s">
        <v>108</v>
      </c>
      <c r="L11" s="14" t="s">
        <v>109</v>
      </c>
      <c r="M11" s="14" t="s">
        <v>110</v>
      </c>
      <c r="N11" s="14" t="s">
        <v>111</v>
      </c>
      <c r="O11" s="14" t="s">
        <v>112</v>
      </c>
      <c r="P11" s="14" t="s">
        <v>19</v>
      </c>
      <c r="Q11" s="14" t="s">
        <v>19</v>
      </c>
      <c r="R11" s="14" t="s">
        <v>19</v>
      </c>
      <c r="S11" s="14" t="s">
        <v>19</v>
      </c>
      <c r="T11" s="15" t="s">
        <v>19</v>
      </c>
      <c r="U11" s="15" t="s">
        <v>19</v>
      </c>
      <c r="V11" s="15" t="s">
        <v>19</v>
      </c>
      <c r="W11" s="14" t="b">
        <f t="shared" si="0"/>
        <v>0</v>
      </c>
      <c r="X11" s="14" t="b">
        <f t="shared" si="0"/>
        <v>0</v>
      </c>
      <c r="Y11" s="14" t="b">
        <f t="shared" si="1"/>
        <v>0</v>
      </c>
      <c r="Z11" s="14" t="s">
        <v>105</v>
      </c>
      <c r="AA11" s="14" t="s">
        <v>72</v>
      </c>
      <c r="AB11" s="14" t="s">
        <v>72</v>
      </c>
      <c r="AC11" s="14" t="s">
        <v>73</v>
      </c>
      <c r="AD11" s="14" t="s">
        <v>106</v>
      </c>
      <c r="AE11" s="14" t="s">
        <v>107</v>
      </c>
      <c r="AF11" s="14" t="s">
        <v>108</v>
      </c>
      <c r="AG11" s="14" t="s">
        <v>109</v>
      </c>
      <c r="AH11" s="14" t="s">
        <v>110</v>
      </c>
      <c r="AI11" s="14" t="s">
        <v>111</v>
      </c>
      <c r="AJ11" s="14" t="s">
        <v>112</v>
      </c>
      <c r="AK11" s="15" t="s">
        <v>19</v>
      </c>
      <c r="AL11" s="14" t="s">
        <v>113</v>
      </c>
    </row>
    <row r="12" spans="1:38" x14ac:dyDescent="0.25">
      <c r="A12" s="14" t="s">
        <v>19</v>
      </c>
      <c r="B12" s="14" t="s">
        <v>19</v>
      </c>
      <c r="C12" s="14" t="s">
        <v>105</v>
      </c>
      <c r="D12" s="14" t="s">
        <v>114</v>
      </c>
      <c r="E12" s="14" t="s">
        <v>115</v>
      </c>
      <c r="F12" s="14" t="s">
        <v>114</v>
      </c>
      <c r="G12" s="14" t="s">
        <v>73</v>
      </c>
      <c r="H12" s="14" t="s">
        <v>106</v>
      </c>
      <c r="I12" s="14" t="s">
        <v>106</v>
      </c>
      <c r="J12" s="14" t="s">
        <v>19</v>
      </c>
      <c r="K12" s="14" t="s">
        <v>19</v>
      </c>
      <c r="L12" s="14" t="s">
        <v>19</v>
      </c>
      <c r="M12" s="14" t="s">
        <v>19</v>
      </c>
      <c r="N12" s="14" t="s">
        <v>19</v>
      </c>
      <c r="O12" s="14" t="s">
        <v>19</v>
      </c>
      <c r="P12" s="14" t="s">
        <v>19</v>
      </c>
      <c r="Q12" s="14" t="s">
        <v>19</v>
      </c>
      <c r="R12" s="14" t="s">
        <v>19</v>
      </c>
      <c r="S12" s="14" t="s">
        <v>19</v>
      </c>
      <c r="T12" s="15" t="s">
        <v>19</v>
      </c>
      <c r="U12" s="15" t="s">
        <v>19</v>
      </c>
      <c r="V12" s="15" t="s">
        <v>19</v>
      </c>
      <c r="W12" s="14" t="b">
        <f t="shared" si="0"/>
        <v>0</v>
      </c>
      <c r="X12" s="14" t="b">
        <f t="shared" si="0"/>
        <v>0</v>
      </c>
      <c r="Y12" s="14" t="b">
        <f t="shared" si="1"/>
        <v>0</v>
      </c>
      <c r="Z12" s="14" t="s">
        <v>105</v>
      </c>
      <c r="AA12" s="14" t="s">
        <v>114</v>
      </c>
      <c r="AB12" s="14" t="s">
        <v>115</v>
      </c>
      <c r="AC12" s="14" t="s">
        <v>73</v>
      </c>
      <c r="AD12" s="14" t="s">
        <v>106</v>
      </c>
      <c r="AE12" s="14" t="s">
        <v>19</v>
      </c>
      <c r="AF12" s="14" t="s">
        <v>19</v>
      </c>
      <c r="AG12" s="14" t="s">
        <v>19</v>
      </c>
      <c r="AH12" s="14" t="s">
        <v>19</v>
      </c>
      <c r="AI12" s="14" t="s">
        <v>19</v>
      </c>
      <c r="AJ12" s="14" t="s">
        <v>19</v>
      </c>
      <c r="AK12" s="15" t="s">
        <v>19</v>
      </c>
      <c r="AL12" s="14" t="s">
        <v>116</v>
      </c>
    </row>
  </sheetData>
  <autoFilter ref="A6:S12" xr:uid="{00000000-0009-0000-0000-000000000000}"/>
  <mergeCells count="2">
    <mergeCell ref="A2:H2"/>
    <mergeCell ref="I2:S2"/>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xr:uid="{00000000-0002-0000-0000-000000000000}">
          <x14:formula1>
            <xm:f>DropDownOptions!$P$1:$P$9</xm:f>
          </x14:formula1>
          <xm:sqref>P7:P12</xm:sqref>
        </x14:dataValidation>
        <x14:dataValidation type="list" allowBlank="1" xr:uid="{00000000-0002-0000-0000-000001000000}">
          <x14:formula1>
            <xm:f>DropDownOptions!$R$1:$R$10</xm:f>
          </x14:formula1>
          <xm:sqref>R7 R11 R9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P1:R10"/>
  <sheetViews>
    <sheetView workbookViewId="0"/>
  </sheetViews>
  <sheetFormatPr defaultRowHeight="15" x14ac:dyDescent="0.25"/>
  <sheetData>
    <row r="1" spans="16:18" x14ac:dyDescent="0.25">
      <c r="P1" s="14" t="s">
        <v>81</v>
      </c>
      <c r="R1" s="14" t="s">
        <v>90</v>
      </c>
    </row>
    <row r="2" spans="16:18" x14ac:dyDescent="0.25">
      <c r="P2" s="14" t="s">
        <v>82</v>
      </c>
      <c r="R2" s="14" t="s">
        <v>82</v>
      </c>
    </row>
    <row r="3" spans="16:18" x14ac:dyDescent="0.25">
      <c r="P3" s="14" t="s">
        <v>83</v>
      </c>
      <c r="R3" s="14" t="s">
        <v>83</v>
      </c>
    </row>
    <row r="4" spans="16:18" x14ac:dyDescent="0.25">
      <c r="P4" s="14" t="s">
        <v>84</v>
      </c>
      <c r="R4" s="14" t="s">
        <v>84</v>
      </c>
    </row>
    <row r="5" spans="16:18" x14ac:dyDescent="0.25">
      <c r="P5" s="14" t="s">
        <v>85</v>
      </c>
      <c r="R5" s="14" t="s">
        <v>85</v>
      </c>
    </row>
    <row r="6" spans="16:18" x14ac:dyDescent="0.25">
      <c r="P6" s="14" t="s">
        <v>86</v>
      </c>
      <c r="R6" s="14" t="s">
        <v>86</v>
      </c>
    </row>
    <row r="7" spans="16:18" x14ac:dyDescent="0.25">
      <c r="P7" s="14" t="s">
        <v>87</v>
      </c>
      <c r="R7" s="14" t="s">
        <v>87</v>
      </c>
    </row>
    <row r="8" spans="16:18" x14ac:dyDescent="0.25">
      <c r="P8" s="14" t="s">
        <v>88</v>
      </c>
      <c r="R8" s="14" t="s">
        <v>88</v>
      </c>
    </row>
    <row r="9" spans="16:18" x14ac:dyDescent="0.25">
      <c r="P9" s="14" t="s">
        <v>89</v>
      </c>
      <c r="R9" s="14" t="s">
        <v>89</v>
      </c>
    </row>
    <row r="10" spans="16:18" x14ac:dyDescent="0.25">
      <c r="R10" s="14" t="s">
        <v>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8"/>
  <sheetViews>
    <sheetView topLeftCell="A2" workbookViewId="0">
      <selection activeCell="C9" sqref="C9"/>
    </sheetView>
  </sheetViews>
  <sheetFormatPr defaultColWidth="16" defaultRowHeight="15" x14ac:dyDescent="0.25"/>
  <cols>
    <col min="3" max="3" width="50" bestFit="1" customWidth="1"/>
    <col min="4" max="12" width="15" hidden="1"/>
  </cols>
  <sheetData>
    <row r="1" spans="1:12" s="16" customFormat="1" ht="15" hidden="1" customHeight="1" x14ac:dyDescent="0.25">
      <c r="A1" s="1" t="s">
        <v>2</v>
      </c>
      <c r="B1" s="1" t="s">
        <v>6</v>
      </c>
      <c r="C1" s="1" t="s">
        <v>117</v>
      </c>
      <c r="D1" s="4" t="s">
        <v>19</v>
      </c>
      <c r="E1" s="4" t="s">
        <v>19</v>
      </c>
      <c r="F1" s="4" t="s">
        <v>19</v>
      </c>
      <c r="G1" s="1" t="s">
        <v>22</v>
      </c>
      <c r="H1" s="1" t="s">
        <v>23</v>
      </c>
      <c r="I1" s="1" t="s">
        <v>26</v>
      </c>
      <c r="J1" s="1" t="s">
        <v>118</v>
      </c>
      <c r="K1" s="4" t="s">
        <v>19</v>
      </c>
      <c r="L1" s="1" t="s">
        <v>34</v>
      </c>
    </row>
    <row r="2" spans="1:12" s="17" customFormat="1" ht="15.95" customHeight="1" x14ac:dyDescent="0.25">
      <c r="A2" s="23" t="s">
        <v>35</v>
      </c>
      <c r="B2" s="24" t="s">
        <v>19</v>
      </c>
      <c r="C2" s="5" t="s">
        <v>36</v>
      </c>
      <c r="D2" s="4" t="s">
        <v>19</v>
      </c>
      <c r="E2" s="4" t="s">
        <v>19</v>
      </c>
      <c r="F2" s="4" t="s">
        <v>19</v>
      </c>
      <c r="G2" s="4" t="s">
        <v>19</v>
      </c>
      <c r="H2" s="4" t="s">
        <v>19</v>
      </c>
      <c r="I2" s="4" t="s">
        <v>19</v>
      </c>
      <c r="J2" s="4" t="s">
        <v>19</v>
      </c>
      <c r="K2" s="4" t="s">
        <v>19</v>
      </c>
      <c r="L2" s="4" t="s">
        <v>19</v>
      </c>
    </row>
    <row r="3" spans="1:12" s="18" customFormat="1" ht="33" customHeight="1" x14ac:dyDescent="0.25">
      <c r="A3" s="7" t="s">
        <v>19</v>
      </c>
      <c r="B3" s="7" t="s">
        <v>19</v>
      </c>
      <c r="C3" s="7" t="s">
        <v>38</v>
      </c>
      <c r="D3" s="4" t="s">
        <v>19</v>
      </c>
      <c r="E3" s="4" t="s">
        <v>19</v>
      </c>
      <c r="F3" s="4" t="s">
        <v>19</v>
      </c>
      <c r="G3" s="7" t="s">
        <v>19</v>
      </c>
      <c r="H3" s="7" t="s">
        <v>19</v>
      </c>
      <c r="I3" s="7" t="s">
        <v>19</v>
      </c>
      <c r="J3" s="7" t="s">
        <v>38</v>
      </c>
      <c r="K3" s="4" t="s">
        <v>19</v>
      </c>
      <c r="L3" s="7" t="s">
        <v>19</v>
      </c>
    </row>
    <row r="4" spans="1:12" s="19" customFormat="1" ht="50.1" customHeight="1" x14ac:dyDescent="0.25">
      <c r="A4" s="9" t="s">
        <v>42</v>
      </c>
      <c r="B4" s="9" t="s">
        <v>46</v>
      </c>
      <c r="C4" s="9" t="s">
        <v>119</v>
      </c>
      <c r="D4" s="4" t="s">
        <v>19</v>
      </c>
      <c r="E4" s="4" t="s">
        <v>19</v>
      </c>
      <c r="F4" s="4" t="s">
        <v>19</v>
      </c>
      <c r="G4" s="9" t="s">
        <v>120</v>
      </c>
      <c r="H4" s="9" t="s">
        <v>42</v>
      </c>
      <c r="I4" s="9" t="s">
        <v>46</v>
      </c>
      <c r="J4" s="9" t="s">
        <v>119</v>
      </c>
      <c r="K4" s="4" t="s">
        <v>19</v>
      </c>
      <c r="L4" s="9" t="s">
        <v>62</v>
      </c>
    </row>
    <row r="5" spans="1:12" s="20" customFormat="1" ht="50.1" customHeight="1" x14ac:dyDescent="0.25">
      <c r="A5" s="11" t="s">
        <v>19</v>
      </c>
      <c r="B5" s="11" t="s">
        <v>19</v>
      </c>
      <c r="C5" s="11" t="s">
        <v>65</v>
      </c>
      <c r="D5" s="4" t="s">
        <v>19</v>
      </c>
      <c r="E5" s="4" t="s">
        <v>19</v>
      </c>
      <c r="F5" s="4" t="s">
        <v>19</v>
      </c>
      <c r="G5" s="11" t="s">
        <v>19</v>
      </c>
      <c r="H5" s="11" t="s">
        <v>19</v>
      </c>
      <c r="I5" s="11" t="s">
        <v>19</v>
      </c>
      <c r="J5" s="11" t="s">
        <v>65</v>
      </c>
      <c r="K5" s="4" t="s">
        <v>19</v>
      </c>
      <c r="L5" s="11" t="s">
        <v>19</v>
      </c>
    </row>
    <row r="6" spans="1:12" s="21" customFormat="1" ht="50.1" customHeight="1" x14ac:dyDescent="0.25">
      <c r="A6" s="11" t="s">
        <v>19</v>
      </c>
      <c r="B6" s="11" t="s">
        <v>19</v>
      </c>
      <c r="C6" s="11" t="s">
        <v>69</v>
      </c>
      <c r="D6" s="4" t="s">
        <v>19</v>
      </c>
      <c r="E6" s="4" t="s">
        <v>19</v>
      </c>
      <c r="F6" s="4" t="s">
        <v>19</v>
      </c>
      <c r="G6" s="11" t="s">
        <v>19</v>
      </c>
      <c r="H6" s="11" t="s">
        <v>19</v>
      </c>
      <c r="I6" s="11" t="s">
        <v>19</v>
      </c>
      <c r="J6" s="11" t="s">
        <v>69</v>
      </c>
      <c r="K6" s="4" t="s">
        <v>19</v>
      </c>
      <c r="L6" s="11" t="s">
        <v>19</v>
      </c>
    </row>
    <row r="7" spans="1:12" x14ac:dyDescent="0.25">
      <c r="A7" s="14" t="s">
        <v>105</v>
      </c>
      <c r="B7" s="14" t="s">
        <v>73</v>
      </c>
      <c r="C7" s="14" t="s">
        <v>121</v>
      </c>
      <c r="D7" s="15" t="s">
        <v>19</v>
      </c>
      <c r="E7" s="15" t="s">
        <v>19</v>
      </c>
      <c r="F7" s="15" t="s">
        <v>19</v>
      </c>
      <c r="G7" s="14" t="b">
        <f>NOT(EXACT(IF(NOT(ISBLANK(C7)),C7,""),IF(NOT(ISBLANK(J7)),J7,"")))</f>
        <v>0</v>
      </c>
      <c r="H7" s="14" t="s">
        <v>105</v>
      </c>
      <c r="I7" s="14" t="s">
        <v>73</v>
      </c>
      <c r="J7" s="14" t="s">
        <v>121</v>
      </c>
      <c r="K7" s="15" t="s">
        <v>19</v>
      </c>
      <c r="L7" s="14" t="s">
        <v>122</v>
      </c>
    </row>
    <row r="8" spans="1:12" x14ac:dyDescent="0.25">
      <c r="A8" s="22" t="s">
        <v>105</v>
      </c>
      <c r="B8" s="14" t="s">
        <v>73</v>
      </c>
      <c r="C8" s="14" t="s">
        <v>123</v>
      </c>
      <c r="D8" s="15" t="s">
        <v>19</v>
      </c>
      <c r="E8" s="15" t="s">
        <v>19</v>
      </c>
      <c r="F8" s="15" t="s">
        <v>19</v>
      </c>
      <c r="G8" s="14" t="b">
        <f>NOT(EXACT(IF(NOT(ISBLANK(C8)),C8,""),IF(NOT(ISBLANK(J8)),J8,"")))</f>
        <v>0</v>
      </c>
      <c r="H8" s="14" t="s">
        <v>105</v>
      </c>
      <c r="I8" s="14" t="s">
        <v>73</v>
      </c>
      <c r="J8" s="14" t="s">
        <v>123</v>
      </c>
      <c r="K8" s="15" t="s">
        <v>19</v>
      </c>
      <c r="L8" s="14" t="s">
        <v>124</v>
      </c>
    </row>
  </sheetData>
  <mergeCells count="1">
    <mergeCell ref="A2:B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5" x14ac:dyDescent="0.25"/>
  <sheetData>
    <row r="1" spans="1:1" x14ac:dyDescent="0.25">
      <c r="A1" t="s">
        <v>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Products</vt:lpstr>
      <vt:lpstr>DropDownOptions</vt:lpstr>
      <vt:lpstr>Additional Feature Bullets</vt:lpstr>
      <vt:lpstr>DropDownOptions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Thanh Vo Nguyen Duy</cp:lastModifiedBy>
  <dcterms:created xsi:type="dcterms:W3CDTF">2026-04-05T14:47:53Z</dcterms:created>
  <dcterms:modified xsi:type="dcterms:W3CDTF">2026-04-05T16:35:39Z</dcterms:modified>
</cp:coreProperties>
</file>